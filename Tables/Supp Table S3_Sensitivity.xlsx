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delgado/Library/CloudStorage/Dropbox/Mobility_Recon/figs_tables/"/>
    </mc:Choice>
  </mc:AlternateContent>
  <xr:revisionPtr revIDLastSave="0" documentId="8_{FC11C51C-8CF5-B948-984F-ABD4580F826D}" xr6:coauthVersionLast="47" xr6:coauthVersionMax="47" xr10:uidLastSave="{00000000-0000-0000-0000-000000000000}"/>
  <bookViews>
    <workbookView xWindow="2300" yWindow="2400" windowWidth="26840" windowHeight="15680" xr2:uid="{5014B51A-E430-5C43-9D81-E8174E0F4923}"/>
  </bookViews>
  <sheets>
    <sheet name="Supp Table 3_Sensitivit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7" i="1" l="1"/>
  <c r="I18" i="1"/>
  <c r="I19" i="1"/>
  <c r="I20" i="1"/>
  <c r="I21" i="1"/>
  <c r="I22" i="1"/>
  <c r="I23" i="1"/>
  <c r="I24" i="1"/>
  <c r="I25" i="1"/>
  <c r="I26" i="1"/>
  <c r="I27" i="1"/>
  <c r="I28" i="1"/>
</calcChain>
</file>

<file path=xl/sharedStrings.xml><?xml version="1.0" encoding="utf-8"?>
<sst xmlns="http://schemas.openxmlformats.org/spreadsheetml/2006/main" count="41" uniqueCount="18">
  <si>
    <t>Late</t>
  </si>
  <si>
    <t>Intermediate</t>
  </si>
  <si>
    <t>Consistent</t>
  </si>
  <si>
    <t>Early</t>
  </si>
  <si>
    <t>Simple</t>
  </si>
  <si>
    <t>Longest</t>
  </si>
  <si>
    <t>Time-Weighted</t>
  </si>
  <si>
    <t>Sensitivity Test Results</t>
  </si>
  <si>
    <t>Initial Incorporation Results</t>
  </si>
  <si>
    <t>Sensitivity Difference</t>
  </si>
  <si>
    <t>Reponse (%)</t>
  </si>
  <si>
    <t>Response Ratio</t>
  </si>
  <si>
    <t>Estimated Error (‰)</t>
  </si>
  <si>
    <t>Log Change</t>
  </si>
  <si>
    <t>Log Expected Error</t>
  </si>
  <si>
    <t>Incorporation Category</t>
  </si>
  <si>
    <t>Approach</t>
  </si>
  <si>
    <t>Supplementary Table S4: Enamel Formation Timing at Longest-Lived Residendce Interpretation and Sensitivity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</si>
</sst>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4" xfId="0" applyFill="1" applyBorder="1" applyAlignment="1">
      <alignment horizontal="right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0" fillId="3" borderId="4" xfId="0" applyFill="1" applyBorder="1"/>
    <xf numFmtId="2" fontId="0" fillId="2" borderId="0" xfId="0" applyNumberFormat="1" applyFill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2B02-77A1-F14B-A1DA-949B9AB0DC81}">
  <dimension ref="B1:I32"/>
  <sheetViews>
    <sheetView tabSelected="1" topLeftCell="A2" zoomScale="165" workbookViewId="0">
      <selection activeCell="C14" sqref="C14"/>
    </sheetView>
  </sheetViews>
  <sheetFormatPr baseColWidth="10" defaultRowHeight="16" x14ac:dyDescent="0.2"/>
  <cols>
    <col min="2" max="2" width="15.33203125" customWidth="1"/>
    <col min="3" max="3" width="15.6640625" customWidth="1"/>
    <col min="4" max="4" width="14.83203125" customWidth="1"/>
    <col min="6" max="6" width="19.6640625" customWidth="1"/>
  </cols>
  <sheetData>
    <row r="1" spans="2:9" x14ac:dyDescent="0.2">
      <c r="B1" s="22" t="s">
        <v>17</v>
      </c>
      <c r="C1" s="22"/>
      <c r="D1" s="22"/>
      <c r="E1" s="22"/>
      <c r="F1" s="22"/>
      <c r="G1" s="22"/>
      <c r="H1" s="22"/>
      <c r="I1" s="22"/>
    </row>
    <row r="2" spans="2:9" ht="35" thickBot="1" x14ac:dyDescent="0.25">
      <c r="B2" s="21" t="s">
        <v>16</v>
      </c>
      <c r="C2" s="19" t="s">
        <v>15</v>
      </c>
      <c r="D2" s="20" t="s">
        <v>14</v>
      </c>
      <c r="E2" s="20" t="s">
        <v>13</v>
      </c>
      <c r="F2" s="20" t="s">
        <v>12</v>
      </c>
      <c r="G2" s="20" t="s">
        <v>11</v>
      </c>
      <c r="H2" s="20" t="s">
        <v>10</v>
      </c>
      <c r="I2" s="19" t="s">
        <v>9</v>
      </c>
    </row>
    <row r="3" spans="2:9" ht="18" thickTop="1" thickBot="1" x14ac:dyDescent="0.25">
      <c r="B3" s="18" t="s">
        <v>8</v>
      </c>
      <c r="C3" s="17"/>
      <c r="D3" s="17"/>
      <c r="E3" s="17"/>
      <c r="F3" s="17"/>
      <c r="G3" s="17"/>
      <c r="H3" s="17"/>
      <c r="I3" s="16"/>
    </row>
    <row r="4" spans="2:9" x14ac:dyDescent="0.2">
      <c r="B4" s="9" t="s">
        <v>6</v>
      </c>
      <c r="C4" s="10" t="s">
        <v>3</v>
      </c>
      <c r="D4" s="15">
        <v>-0.28363584605978098</v>
      </c>
      <c r="E4" s="15">
        <v>0</v>
      </c>
      <c r="F4" s="7">
        <v>0.75304081756346497</v>
      </c>
      <c r="G4" s="15">
        <v>1</v>
      </c>
      <c r="H4" s="15">
        <v>0</v>
      </c>
      <c r="I4" s="14"/>
    </row>
    <row r="5" spans="2:9" x14ac:dyDescent="0.2">
      <c r="B5" s="9"/>
      <c r="C5" s="8" t="s">
        <v>2</v>
      </c>
      <c r="D5" s="15">
        <v>-0.23295068075182099</v>
      </c>
      <c r="E5" s="15">
        <v>0</v>
      </c>
      <c r="F5" s="7">
        <v>0.79219264290643099</v>
      </c>
      <c r="G5" s="15">
        <v>1</v>
      </c>
      <c r="H5" s="15">
        <v>0</v>
      </c>
      <c r="I5" s="14"/>
    </row>
    <row r="6" spans="2:9" x14ac:dyDescent="0.2">
      <c r="B6" s="9"/>
      <c r="C6" s="8" t="s">
        <v>1</v>
      </c>
      <c r="D6" s="15">
        <v>-0.27945975429593101</v>
      </c>
      <c r="E6" s="15">
        <v>0</v>
      </c>
      <c r="F6" s="7">
        <v>0.756192160688687</v>
      </c>
      <c r="G6" s="15">
        <v>1</v>
      </c>
      <c r="H6" s="15">
        <v>0</v>
      </c>
      <c r="I6" s="14"/>
    </row>
    <row r="7" spans="2:9" x14ac:dyDescent="0.2">
      <c r="B7" s="9"/>
      <c r="C7" s="8" t="s">
        <v>0</v>
      </c>
      <c r="D7" s="15">
        <v>-7.85453356806253E-2</v>
      </c>
      <c r="E7" s="15">
        <v>0</v>
      </c>
      <c r="F7" s="7">
        <v>0.92446014795148801</v>
      </c>
      <c r="G7" s="15">
        <v>1</v>
      </c>
      <c r="H7" s="15">
        <v>0</v>
      </c>
      <c r="I7" s="14"/>
    </row>
    <row r="8" spans="2:9" x14ac:dyDescent="0.2">
      <c r="B8" s="9" t="s">
        <v>5</v>
      </c>
      <c r="C8" s="8" t="s">
        <v>3</v>
      </c>
      <c r="D8" s="15">
        <v>0.146112130860342</v>
      </c>
      <c r="E8" s="15">
        <v>0.42974797692012301</v>
      </c>
      <c r="F8" s="7">
        <v>1.1573259527301201</v>
      </c>
      <c r="G8" s="15">
        <v>1.5368701479884701</v>
      </c>
      <c r="H8" s="15">
        <v>53.6870147988474</v>
      </c>
      <c r="I8" s="14"/>
    </row>
    <row r="9" spans="2:9" x14ac:dyDescent="0.2">
      <c r="B9" s="9"/>
      <c r="C9" s="8" t="s">
        <v>2</v>
      </c>
      <c r="D9" s="15">
        <v>-0.141145135498838</v>
      </c>
      <c r="E9" s="15">
        <v>9.1805545252982304E-2</v>
      </c>
      <c r="F9" s="7">
        <v>0.86836327221480203</v>
      </c>
      <c r="G9" s="15">
        <v>1.0961516494635899</v>
      </c>
      <c r="H9" s="15">
        <v>9.6151649463585702</v>
      </c>
      <c r="I9" s="14"/>
    </row>
    <row r="10" spans="2:9" x14ac:dyDescent="0.2">
      <c r="B10" s="9"/>
      <c r="C10" s="8" t="s">
        <v>1</v>
      </c>
      <c r="D10" s="15">
        <v>-0.30845287604757499</v>
      </c>
      <c r="E10" s="15">
        <v>-2.8993121751644299E-2</v>
      </c>
      <c r="F10" s="7">
        <v>0.73458256781752895</v>
      </c>
      <c r="G10" s="15">
        <v>0.97142314613328296</v>
      </c>
      <c r="H10" s="15">
        <v>-2.8576853866716698</v>
      </c>
      <c r="I10" s="14"/>
    </row>
    <row r="11" spans="2:9" x14ac:dyDescent="0.2">
      <c r="B11" s="9"/>
      <c r="C11" s="8" t="s">
        <v>0</v>
      </c>
      <c r="D11" s="15">
        <v>-0.195386355266495</v>
      </c>
      <c r="E11" s="15">
        <v>-0.11684101958587</v>
      </c>
      <c r="F11" s="7">
        <v>0.82251681295694101</v>
      </c>
      <c r="G11" s="15">
        <v>0.88972663102845195</v>
      </c>
      <c r="H11" s="15">
        <v>-11.0273368971548</v>
      </c>
      <c r="I11" s="14"/>
    </row>
    <row r="12" spans="2:9" x14ac:dyDescent="0.2">
      <c r="B12" s="9" t="s">
        <v>4</v>
      </c>
      <c r="C12" s="8" t="s">
        <v>3</v>
      </c>
      <c r="D12" s="15">
        <v>-0.30070145824792299</v>
      </c>
      <c r="E12" s="15">
        <v>-1.70656121881416E-2</v>
      </c>
      <c r="F12" s="7">
        <v>0.74029874984546096</v>
      </c>
      <c r="G12" s="15">
        <v>0.98307918054265397</v>
      </c>
      <c r="H12" s="15">
        <v>-1.6920819457346501</v>
      </c>
      <c r="I12" s="14"/>
    </row>
    <row r="13" spans="2:9" x14ac:dyDescent="0.2">
      <c r="B13" s="9"/>
      <c r="C13" s="8" t="s">
        <v>2</v>
      </c>
      <c r="D13" s="15">
        <v>-0.246674672925704</v>
      </c>
      <c r="E13" s="15">
        <v>-1.3723992173883299E-2</v>
      </c>
      <c r="F13" s="7">
        <v>0.78139486108936895</v>
      </c>
      <c r="G13" s="15">
        <v>0.98636975246646197</v>
      </c>
      <c r="H13" s="15">
        <v>-1.36302475335378</v>
      </c>
      <c r="I13" s="14"/>
    </row>
    <row r="14" spans="2:9" x14ac:dyDescent="0.2">
      <c r="B14" s="9"/>
      <c r="C14" s="8" t="s">
        <v>1</v>
      </c>
      <c r="D14" s="15">
        <v>-0.143830537671952</v>
      </c>
      <c r="E14" s="15">
        <v>0.135629216623979</v>
      </c>
      <c r="F14" s="7">
        <v>0.86603449584657899</v>
      </c>
      <c r="G14" s="15">
        <v>1.1452571725391301</v>
      </c>
      <c r="H14" s="15">
        <v>14.5257172539128</v>
      </c>
      <c r="I14" s="14"/>
    </row>
    <row r="15" spans="2:9" x14ac:dyDescent="0.2">
      <c r="B15" s="9"/>
      <c r="C15" s="4" t="s">
        <v>0</v>
      </c>
      <c r="D15" s="15">
        <v>8.8133132312045198E-2</v>
      </c>
      <c r="E15" s="15">
        <v>0.16667846799267</v>
      </c>
      <c r="F15" s="7">
        <v>1.0921335106093499</v>
      </c>
      <c r="G15" s="15">
        <v>1.1813743545672699</v>
      </c>
      <c r="H15" s="15">
        <v>18.137435456727101</v>
      </c>
      <c r="I15" s="14"/>
    </row>
    <row r="16" spans="2:9" ht="17" thickBot="1" x14ac:dyDescent="0.25">
      <c r="B16" s="13" t="s">
        <v>7</v>
      </c>
      <c r="C16" s="12"/>
      <c r="D16" s="12"/>
      <c r="E16" s="12"/>
      <c r="F16" s="12"/>
      <c r="G16" s="12"/>
      <c r="H16" s="12"/>
      <c r="I16" s="11"/>
    </row>
    <row r="17" spans="2:9" x14ac:dyDescent="0.2">
      <c r="B17" s="9" t="s">
        <v>6</v>
      </c>
      <c r="C17" s="10" t="s">
        <v>3</v>
      </c>
      <c r="D17" s="7">
        <v>-0.23344092298709801</v>
      </c>
      <c r="E17" s="7">
        <v>0</v>
      </c>
      <c r="F17" s="7">
        <v>0.79180437179562702</v>
      </c>
      <c r="G17" s="7">
        <v>1</v>
      </c>
      <c r="H17" s="7">
        <v>0</v>
      </c>
      <c r="I17" s="6">
        <f>F17-F4</f>
        <v>3.8763554232162045E-2</v>
      </c>
    </row>
    <row r="18" spans="2:9" x14ac:dyDescent="0.2">
      <c r="B18" s="9"/>
      <c r="C18" s="8" t="s">
        <v>2</v>
      </c>
      <c r="D18" s="7">
        <v>-0.23477605193776399</v>
      </c>
      <c r="E18" s="7">
        <v>0</v>
      </c>
      <c r="F18" s="7">
        <v>0.79074791626469498</v>
      </c>
      <c r="G18" s="7">
        <v>1</v>
      </c>
      <c r="H18" s="7">
        <v>0</v>
      </c>
      <c r="I18" s="6">
        <f>F18-F5</f>
        <v>-1.444726641736005E-3</v>
      </c>
    </row>
    <row r="19" spans="2:9" x14ac:dyDescent="0.2">
      <c r="B19" s="9"/>
      <c r="C19" s="8" t="s">
        <v>1</v>
      </c>
      <c r="D19" s="7">
        <v>-0.29813848914314101</v>
      </c>
      <c r="E19" s="7">
        <v>0</v>
      </c>
      <c r="F19" s="7">
        <v>0.742198546189341</v>
      </c>
      <c r="G19" s="7">
        <v>1</v>
      </c>
      <c r="H19" s="7">
        <v>0</v>
      </c>
      <c r="I19" s="6">
        <f>F19-F6</f>
        <v>-1.3993614499345997E-2</v>
      </c>
    </row>
    <row r="20" spans="2:9" x14ac:dyDescent="0.2">
      <c r="B20" s="9"/>
      <c r="C20" s="8" t="s">
        <v>0</v>
      </c>
      <c r="D20" s="7">
        <v>-0.17327441710806099</v>
      </c>
      <c r="E20" s="7">
        <v>0</v>
      </c>
      <c r="F20" s="7">
        <v>0.84090682396080796</v>
      </c>
      <c r="G20" s="7">
        <v>1</v>
      </c>
      <c r="H20" s="7">
        <v>0</v>
      </c>
      <c r="I20" s="6">
        <f>F20-F7</f>
        <v>-8.3553323990680051E-2</v>
      </c>
    </row>
    <row r="21" spans="2:9" x14ac:dyDescent="0.2">
      <c r="B21" s="9" t="s">
        <v>5</v>
      </c>
      <c r="C21" s="8" t="s">
        <v>3</v>
      </c>
      <c r="D21" s="7">
        <v>0.53822990766133705</v>
      </c>
      <c r="E21" s="7">
        <v>0.771670830648436</v>
      </c>
      <c r="F21" s="7">
        <v>1.7129720583189401</v>
      </c>
      <c r="G21" s="7">
        <v>2.1633778737976899</v>
      </c>
      <c r="H21" s="7">
        <v>116.337787379769</v>
      </c>
      <c r="I21" s="6">
        <f>F21-F8</f>
        <v>0.55564610558881999</v>
      </c>
    </row>
    <row r="22" spans="2:9" x14ac:dyDescent="0.2">
      <c r="B22" s="9"/>
      <c r="C22" s="8" t="s">
        <v>2</v>
      </c>
      <c r="D22" s="7">
        <v>-0.14303111176010599</v>
      </c>
      <c r="E22" s="7">
        <v>9.1744940177657899E-2</v>
      </c>
      <c r="F22" s="7">
        <v>0.86672710307030598</v>
      </c>
      <c r="G22" s="7">
        <v>1.0960852191233299</v>
      </c>
      <c r="H22" s="7">
        <v>9.6085219123330994</v>
      </c>
      <c r="I22" s="6">
        <f>F22-F9</f>
        <v>-1.6361691444960469E-3</v>
      </c>
    </row>
    <row r="23" spans="2:9" x14ac:dyDescent="0.2">
      <c r="B23" s="9"/>
      <c r="C23" s="8" t="s">
        <v>1</v>
      </c>
      <c r="D23" s="7">
        <v>-0.25317512393820601</v>
      </c>
      <c r="E23" s="7">
        <v>4.4963365204934998E-2</v>
      </c>
      <c r="F23" s="7">
        <v>0.77633191561619896</v>
      </c>
      <c r="G23" s="7">
        <v>1.0459895395943699</v>
      </c>
      <c r="H23" s="7">
        <v>4.5989539594369697</v>
      </c>
      <c r="I23" s="6">
        <f>F23-F10</f>
        <v>4.1749347798670011E-2</v>
      </c>
    </row>
    <row r="24" spans="2:9" x14ac:dyDescent="0.2">
      <c r="B24" s="9"/>
      <c r="C24" s="8" t="s">
        <v>0</v>
      </c>
      <c r="D24" s="7">
        <v>-0.32657559868445601</v>
      </c>
      <c r="E24" s="7">
        <v>-0.153301181576395</v>
      </c>
      <c r="F24" s="7">
        <v>0.72138983686448399</v>
      </c>
      <c r="G24" s="7">
        <v>0.85787130786574095</v>
      </c>
      <c r="H24" s="7">
        <v>-14.2128692134259</v>
      </c>
      <c r="I24" s="6">
        <f>F24-F11</f>
        <v>-0.10112697609245702</v>
      </c>
    </row>
    <row r="25" spans="2:9" x14ac:dyDescent="0.2">
      <c r="B25" s="9" t="s">
        <v>4</v>
      </c>
      <c r="C25" s="8" t="s">
        <v>3</v>
      </c>
      <c r="D25" s="7">
        <v>-0.29857648102501599</v>
      </c>
      <c r="E25" s="7">
        <v>-6.5135558037917596E-2</v>
      </c>
      <c r="F25" s="7">
        <v>0.74187354043150799</v>
      </c>
      <c r="G25" s="7">
        <v>0.93694044496005002</v>
      </c>
      <c r="H25" s="7">
        <v>-6.3059555039950199</v>
      </c>
      <c r="I25" s="6">
        <f>F25-F12</f>
        <v>1.5747905860470368E-3</v>
      </c>
    </row>
    <row r="26" spans="2:9" x14ac:dyDescent="0.2">
      <c r="B26" s="9"/>
      <c r="C26" s="8" t="s">
        <v>2</v>
      </c>
      <c r="D26" s="7">
        <v>-0.248582710008971</v>
      </c>
      <c r="E26" s="7">
        <v>-1.38066580712065E-2</v>
      </c>
      <c r="F26" s="7">
        <v>0.77990535218873802</v>
      </c>
      <c r="G26" s="7">
        <v>0.98628821669594202</v>
      </c>
      <c r="H26" s="7">
        <v>-1.3711783304057801</v>
      </c>
      <c r="I26" s="6">
        <f>F26-F13</f>
        <v>-1.4895089006309314E-3</v>
      </c>
    </row>
    <row r="27" spans="2:9" x14ac:dyDescent="0.2">
      <c r="B27" s="9"/>
      <c r="C27" s="8" t="s">
        <v>1</v>
      </c>
      <c r="D27" s="7">
        <v>-0.16762635490480399</v>
      </c>
      <c r="E27" s="7">
        <v>0.13051213423833599</v>
      </c>
      <c r="F27" s="7">
        <v>0.84566975601624605</v>
      </c>
      <c r="G27" s="7">
        <v>1.13941176570361</v>
      </c>
      <c r="H27" s="7">
        <v>13.9411765703606</v>
      </c>
      <c r="I27" s="6">
        <f>F27-F14</f>
        <v>-2.0364739830332934E-2</v>
      </c>
    </row>
    <row r="28" spans="2:9" x14ac:dyDescent="0.2">
      <c r="B28" s="5"/>
      <c r="C28" s="4" t="s">
        <v>0</v>
      </c>
      <c r="D28" s="3">
        <v>-0.102169764152439</v>
      </c>
      <c r="E28" s="3">
        <v>7.1104652955621794E-2</v>
      </c>
      <c r="F28" s="3">
        <v>0.90287626263427001</v>
      </c>
      <c r="G28" s="3">
        <v>1.0736935851960101</v>
      </c>
      <c r="H28" s="3">
        <v>7.3693585196009899</v>
      </c>
      <c r="I28" s="2">
        <f>F28-F15</f>
        <v>-0.18925724797507992</v>
      </c>
    </row>
    <row r="29" spans="2:9" x14ac:dyDescent="0.2">
      <c r="F29" s="1"/>
    </row>
    <row r="30" spans="2:9" x14ac:dyDescent="0.2">
      <c r="F30" s="1"/>
    </row>
    <row r="31" spans="2:9" x14ac:dyDescent="0.2">
      <c r="F31" s="1"/>
    </row>
    <row r="32" spans="2:9" x14ac:dyDescent="0.2">
      <c r="F32" s="1"/>
    </row>
  </sheetData>
  <mergeCells count="1">
    <mergeCell ref="B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3_Sensitivity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Delgado</dc:creator>
  <cp:lastModifiedBy>Thomas Delgado</cp:lastModifiedBy>
  <dcterms:created xsi:type="dcterms:W3CDTF">2026-10-20T19:00:20Z</dcterms:created>
  <dcterms:modified xsi:type="dcterms:W3CDTF">2026-10-20T19:00:59Z</dcterms:modified>
</cp:coreProperties>
</file>